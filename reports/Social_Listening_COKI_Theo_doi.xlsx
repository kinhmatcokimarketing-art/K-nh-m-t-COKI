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t ky theo doi" sheetId="1" state="visible" r:id="rId1"/>
    <sheet name="Tong hop" sheetId="2" state="visible" r:id="rId2"/>
    <sheet name="Huong 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A5F"/>
      <sz val="13"/>
    </font>
    <font>
      <b val="1"/>
      <color rgb="001F3A5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5CCD6"/>
      </left>
      <right style="thin">
        <color rgb="00C5CCD6"/>
      </right>
      <top style="thin">
        <color rgb="00C5CCD6"/>
      </top>
      <bottom style="thin">
        <color rgb="00C5CC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50" customWidth="1" min="5" max="5"/>
    <col width="30" customWidth="1" min="6" max="6"/>
    <col width="13" customWidth="1" min="7" max="7"/>
    <col width="16" customWidth="1" min="8" max="8"/>
    <col width="12" customWidth="1" min="9" max="9"/>
    <col width="12" customWidth="1" min="10" max="10"/>
    <col width="18" customWidth="1" min="11" max="11"/>
    <col width="28" customWidth="1" min="12" max="12"/>
  </cols>
  <sheetData>
    <row r="1" ht="32" customHeight="1">
      <c r="A1" s="1" t="inlineStr">
        <is>
          <t>STT</t>
        </is>
      </c>
      <c r="B1" s="1" t="inlineStr">
        <is>
          <t>Ngày</t>
        </is>
      </c>
      <c r="C1" s="1" t="inlineStr">
        <is>
          <t>Kênh</t>
        </is>
      </c>
      <c r="D1" s="1" t="inlineStr">
        <is>
          <t>Từ khóa / Nhóm</t>
        </is>
      </c>
      <c r="E1" s="1" t="inlineStr">
        <is>
          <t>Nội dung đề cập (tóm tắt)</t>
        </is>
      </c>
      <c r="F1" s="1" t="inlineStr">
        <is>
          <t>Link</t>
        </is>
      </c>
      <c r="G1" s="1" t="inlineStr">
        <is>
          <t>Cảm xúc</t>
        </is>
      </c>
      <c r="H1" s="1" t="inlineStr">
        <is>
          <t>Chủ đề</t>
        </is>
      </c>
      <c r="I1" s="1" t="inlineStr">
        <is>
          <t>Cần xử lý?</t>
        </is>
      </c>
      <c r="J1" s="1" t="inlineStr">
        <is>
          <t>Đã xử lý?</t>
        </is>
      </c>
      <c r="K1" s="1" t="inlineStr">
        <is>
          <t>Tương tác (like/comment/view)</t>
        </is>
      </c>
      <c r="L1" s="1" t="inlineStr">
        <is>
          <t>Ghi chú</t>
        </is>
      </c>
    </row>
    <row r="2">
      <c r="A2" s="2">
        <f>IF(E2="","",ROW()-1)</f>
        <v/>
      </c>
      <c r="B2" s="3" t="n">
        <v>46310</v>
      </c>
      <c r="C2" s="2" t="inlineStr">
        <is>
          <t>Facebook</t>
        </is>
      </c>
      <c r="D2" s="2" t="inlineStr">
        <is>
          <t>Fanpage</t>
        </is>
      </c>
      <c r="E2" s="2" t="inlineStr">
        <is>
          <t>Comment dưới bài QC đa tròng (đăng 30/9): hỏi có kính lão 1,2 độ không</t>
        </is>
      </c>
      <c r="F2" s="2" t="inlineStr">
        <is>
          <t>https://business.facebook.com/latest/inbox/facebook?asset_id=190065937527579&amp;thread_type=FB_PAGE_POST&amp;selected_item_id=1346020201932141</t>
        </is>
      </c>
      <c r="G2" s="2" t="inlineStr">
        <is>
          <t>Trung tính</t>
        </is>
      </c>
      <c r="H2" s="2" t="inlineStr">
        <is>
          <t>Mẫu mã</t>
        </is>
      </c>
      <c r="I2" s="2" t="inlineStr">
        <is>
          <t>Có</t>
        </is>
      </c>
      <c r="J2" s="2" t="inlineStr">
        <is>
          <t>Có</t>
        </is>
      </c>
      <c r="K2" s="2" t="inlineStr">
        <is>
          <t>1 cảm xúc</t>
        </is>
      </c>
      <c r="L2" s="2" t="inlineStr">
        <is>
          <t>Ngày ≈ ("8 giờ"). Trang trả lời câu mẫu "đã inbox"</t>
        </is>
      </c>
    </row>
    <row r="3">
      <c r="A3" s="2">
        <f>IF(E3="","",ROW()-1)</f>
        <v/>
      </c>
      <c r="B3" s="3" t="n">
        <v>46309</v>
      </c>
      <c r="C3" s="2" t="inlineStr">
        <is>
          <t>Facebook</t>
        </is>
      </c>
      <c r="D3" s="2" t="inlineStr">
        <is>
          <t>Fanpage</t>
        </is>
      </c>
      <c r="E3" s="2" t="inlineStr">
        <is>
          <t>Bài "Deal xinh rộn ràng" (3/10): khách hỏi ưu đãi giảm 200K cho khách mới; kể hôm qua đến cửa hàng nhân viên nói đã hết chương trình</t>
        </is>
      </c>
      <c r="F3" s="2" t="inlineStr">
        <is>
          <t>https://business.facebook.com/latest/inbox/facebook?asset_id=190065937527579&amp;thread_type=FB_PAGE_POST&amp;selected_item_id=1357437214123773</t>
        </is>
      </c>
      <c r="G3" s="2" t="inlineStr">
        <is>
          <t>Tiêu cực</t>
        </is>
      </c>
      <c r="H3" s="2" t="inlineStr">
        <is>
          <t>Khuyến mãi</t>
        </is>
      </c>
      <c r="I3" s="2" t="inlineStr">
        <is>
          <t>Có</t>
        </is>
      </c>
      <c r="J3" s="2" t="inlineStr">
        <is>
          <t>Chưa</t>
        </is>
      </c>
      <c r="K3" s="2" t="inlineStr">
        <is>
          <t>1 cảm xúc</t>
        </is>
      </c>
      <c r="L3" s="2" t="inlineStr">
        <is>
          <t>Ngày ≈. Trang chỉ trả lời câu mẫu, chưa nhắc đến phàn nàn</t>
        </is>
      </c>
    </row>
    <row r="4">
      <c r="A4" s="2">
        <f>IF(E4="","",ROW()-1)</f>
        <v/>
      </c>
      <c r="B4" s="3" t="n">
        <v>46309</v>
      </c>
      <c r="C4" s="2" t="inlineStr">
        <is>
          <t>Facebook</t>
        </is>
      </c>
      <c r="D4" s="2" t="inlineStr">
        <is>
          <t>Fanpage</t>
        </is>
      </c>
      <c r="E4" s="2" t="inlineStr">
        <is>
          <t>Bài "Con tăng độ cận" (29/9): hỏi giá</t>
        </is>
      </c>
      <c r="F4" s="2" t="inlineStr">
        <is>
          <t>https://business.facebook.com/latest/inbox/facebook?asset_id=190065937527579&amp;thread_type=FB_PAGE_POST&amp;selected_item_id=1358110050723156</t>
        </is>
      </c>
      <c r="G4" s="2" t="inlineStr">
        <is>
          <t>Trung tính</t>
        </is>
      </c>
      <c r="H4" s="2" t="inlineStr">
        <is>
          <t>Giá</t>
        </is>
      </c>
      <c r="I4" s="2" t="inlineStr">
        <is>
          <t>Có</t>
        </is>
      </c>
      <c r="J4" s="2" t="inlineStr">
        <is>
          <t>Có</t>
        </is>
      </c>
      <c r="K4" s="2" t="inlineStr">
        <is>
          <t>1</t>
        </is>
      </c>
      <c r="L4" s="2" t="inlineStr">
        <is>
          <t>Ngày ≈ ("23 giờ"). Câu mẫu "đã inbox"</t>
        </is>
      </c>
    </row>
    <row r="5">
      <c r="A5" s="2">
        <f>IF(E5="","",ROW()-1)</f>
        <v/>
      </c>
      <c r="B5" s="3" t="n">
        <v>46309</v>
      </c>
      <c r="C5" s="2" t="inlineStr">
        <is>
          <t>Facebook</t>
        </is>
      </c>
      <c r="D5" s="2" t="inlineStr">
        <is>
          <t>Fanpage</t>
        </is>
      </c>
      <c r="E5" s="2" t="inlineStr">
        <is>
          <t>Bài "Con mới 3 tuổi…" (22/8): muốn được tư vấn</t>
        </is>
      </c>
      <c r="F5" s="2" t="inlineStr">
        <is>
          <t>https://business.facebook.com/latest/inbox/facebook?asset_id=190065937527579&amp;thread_type=FB_PAGE_POST&amp;selected_item_id=1316935531507275</t>
        </is>
      </c>
      <c r="G5" s="2" t="inlineStr">
        <is>
          <t>Trung tính</t>
        </is>
      </c>
      <c r="H5" s="2" t="inlineStr">
        <is>
          <t>Dịch vụ</t>
        </is>
      </c>
      <c r="I5" s="2" t="inlineStr">
        <is>
          <t>Có</t>
        </is>
      </c>
      <c r="J5" s="2" t="inlineStr">
        <is>
          <t>Có</t>
        </is>
      </c>
      <c r="K5" s="2" t="inlineStr">
        <is>
          <t>1</t>
        </is>
      </c>
      <c r="L5" s="2" t="inlineStr">
        <is>
          <t>Ngày ≈. Câu mẫu "đã inbox"</t>
        </is>
      </c>
    </row>
    <row r="6">
      <c r="A6" s="2">
        <f>IF(E6="","",ROW()-1)</f>
        <v/>
      </c>
      <c r="B6" s="3" t="n">
        <v>46304</v>
      </c>
      <c r="C6" s="2" t="inlineStr">
        <is>
          <t>Facebook</t>
        </is>
      </c>
      <c r="D6" s="2" t="inlineStr">
        <is>
          <t>Fanpage</t>
        </is>
      </c>
      <c r="E6" s="2" t="inlineStr">
        <is>
          <t>Bài QC tròng lọc ánh sáng xanh (29/8): xin giá</t>
        </is>
      </c>
      <c r="F6" s="2" t="inlineStr">
        <is>
          <t>https://business.facebook.com/latest/inbox/facebook?asset_id=190065937527579&amp;thread_type=FB_PAGE_POST&amp;selected_item_id=1314258838441611</t>
        </is>
      </c>
      <c r="G6" s="2" t="inlineStr">
        <is>
          <t>Trung tính</t>
        </is>
      </c>
      <c r="H6" s="2" t="inlineStr">
        <is>
          <t>Giá</t>
        </is>
      </c>
      <c r="I6" s="2" t="inlineStr">
        <is>
          <t>Có</t>
        </is>
      </c>
      <c r="J6" s="2" t="inlineStr">
        <is>
          <t>Chưa</t>
        </is>
      </c>
      <c r="K6" s="2" t="inlineStr">
        <is>
          <t>1</t>
        </is>
      </c>
      <c r="L6" s="2" t="inlineStr">
        <is>
          <t>Ngày ≈ ("6 ngày"). Chưa thấy trang trả lời trực tiếp</t>
        </is>
      </c>
    </row>
    <row r="7">
      <c r="A7" s="2">
        <f>IF(E7="","",ROW()-1)</f>
        <v/>
      </c>
      <c r="B7" s="3" t="n">
        <v>46304</v>
      </c>
      <c r="C7" s="2" t="inlineStr">
        <is>
          <t>Facebook</t>
        </is>
      </c>
      <c r="D7" s="2" t="inlineStr">
        <is>
          <t>Fanpage</t>
        </is>
      </c>
      <c r="E7" s="2" t="inlineStr">
        <is>
          <t>Bài "Ra đường phải nheo mắt" (30/9): xin giá</t>
        </is>
      </c>
      <c r="F7" s="2" t="inlineStr">
        <is>
          <t>https://business.facebook.com/latest/inbox/facebook?asset_id=190065937527579&amp;thread_type=FB_PAGE_POST&amp;selected_item_id=1343448765522618</t>
        </is>
      </c>
      <c r="G7" s="2" t="inlineStr">
        <is>
          <t>Trung tính</t>
        </is>
      </c>
      <c r="H7" s="2" t="inlineStr">
        <is>
          <t>Giá</t>
        </is>
      </c>
      <c r="I7" s="2" t="inlineStr">
        <is>
          <t>Có</t>
        </is>
      </c>
      <c r="J7" s="2" t="inlineStr">
        <is>
          <t>Có</t>
        </is>
      </c>
      <c r="K7" s="2" t="inlineStr">
        <is>
          <t>1</t>
        </is>
      </c>
      <c r="L7" s="2" t="inlineStr">
        <is>
          <t>Ngày ≈. Câu mẫu "đã inbox"</t>
        </is>
      </c>
    </row>
    <row r="8">
      <c r="A8" s="2">
        <f>IF(E8="","",ROW()-1)</f>
        <v/>
      </c>
      <c r="B8" s="3" t="n">
        <v>46304</v>
      </c>
      <c r="C8" s="2" t="inlineStr">
        <is>
          <t>Facebook</t>
        </is>
      </c>
      <c r="D8" s="2" t="inlineStr">
        <is>
          <t>Fanpage</t>
        </is>
      </c>
      <c r="E8" s="2" t="inlineStr">
        <is>
          <t>Ảnh trong bài 6/10: xin giá mẫu gọng</t>
        </is>
      </c>
      <c r="F8" s="2" t="inlineStr">
        <is>
          <t>https://business.facebook.com/latest/inbox/facebook?asset_id=190065937527579&amp;thread_type=FB_PAGE_POST&amp;selected_item_id=1349680864899408</t>
        </is>
      </c>
      <c r="G8" s="2" t="inlineStr">
        <is>
          <t>Trung tính</t>
        </is>
      </c>
      <c r="H8" s="2" t="inlineStr">
        <is>
          <t>Giá</t>
        </is>
      </c>
      <c r="I8" s="2" t="inlineStr">
        <is>
          <t>Có</t>
        </is>
      </c>
      <c r="J8" s="2" t="inlineStr">
        <is>
          <t>Có</t>
        </is>
      </c>
      <c r="K8" s="2" t="inlineStr">
        <is>
          <t>1</t>
        </is>
      </c>
      <c r="L8" s="2" t="inlineStr">
        <is>
          <t>Ngày ≈. Đã báo giá 350K</t>
        </is>
      </c>
    </row>
    <row r="9">
      <c r="A9" s="2">
        <f>IF(E9="","",ROW()-1)</f>
        <v/>
      </c>
      <c r="B9" s="3" t="n">
        <v>46303</v>
      </c>
      <c r="C9" s="2" t="inlineStr">
        <is>
          <t>Facebook</t>
        </is>
      </c>
      <c r="D9" s="2" t="inlineStr">
        <is>
          <t>Fanpage</t>
        </is>
      </c>
      <c r="E9" s="2" t="inlineStr">
        <is>
          <t>Bài tròng lọc ánh sáng xanh: xin giá</t>
        </is>
      </c>
      <c r="F9" s="2" t="inlineStr">
        <is>
          <t>https://business.facebook.com/latest/inbox/facebook?asset_id=190065937527579&amp;thread_type=FB_PAGE_POST&amp;selected_item_id=1314258838441611</t>
        </is>
      </c>
      <c r="G9" s="2" t="inlineStr">
        <is>
          <t>Trung tính</t>
        </is>
      </c>
      <c r="H9" s="2" t="inlineStr">
        <is>
          <t>Giá</t>
        </is>
      </c>
      <c r="I9" s="2" t="inlineStr">
        <is>
          <t>Có</t>
        </is>
      </c>
      <c r="J9" s="2" t="inlineStr">
        <is>
          <t>Có</t>
        </is>
      </c>
      <c r="K9" s="2" t="inlineStr">
        <is>
          <t>1</t>
        </is>
      </c>
      <c r="L9" s="2" t="inlineStr">
        <is>
          <t>Ngày ≈ 02–08/10 ("1 tuần"), có thể ngoài kỳ. Câu mẫu "đã inbox"</t>
        </is>
      </c>
    </row>
    <row r="10">
      <c r="A10" s="2">
        <f>IF(E10="","",ROW()-1)</f>
        <v/>
      </c>
      <c r="B10" s="3" t="n">
        <v>46303</v>
      </c>
      <c r="C10" s="2" t="inlineStr">
        <is>
          <t>Facebook</t>
        </is>
      </c>
      <c r="D10" s="2" t="inlineStr">
        <is>
          <t>Fanpage</t>
        </is>
      </c>
      <c r="E10" s="2" t="inlineStr">
        <is>
          <t>Bài tròng lọc ánh sáng xanh: hỏi giá</t>
        </is>
      </c>
      <c r="F10" s="2" t="inlineStr">
        <is>
          <t>https://business.facebook.com/latest/inbox/facebook?asset_id=190065937527579&amp;thread_type=FB_PAGE_POST&amp;selected_item_id=1314258838441611</t>
        </is>
      </c>
      <c r="G10" s="2" t="inlineStr">
        <is>
          <t>Trung tính</t>
        </is>
      </c>
      <c r="H10" s="2" t="inlineStr">
        <is>
          <t>Giá</t>
        </is>
      </c>
      <c r="I10" s="2" t="inlineStr">
        <is>
          <t>Có</t>
        </is>
      </c>
      <c r="J10" s="2" t="inlineStr">
        <is>
          <t>Có</t>
        </is>
      </c>
      <c r="K10" s="2" t="inlineStr">
        <is>
          <t>1</t>
        </is>
      </c>
      <c r="L10" s="2" t="inlineStr">
        <is>
          <t>Ngày ≈ 02–08/10, có thể ngoài kỳ. Có 1 phản hồi</t>
        </is>
      </c>
    </row>
    <row r="11">
      <c r="A11" s="2">
        <f>IF(E11="","",ROW()-1)</f>
        <v/>
      </c>
      <c r="B11" s="3" t="n">
        <v>46303</v>
      </c>
      <c r="C11" s="2" t="inlineStr">
        <is>
          <t>Facebook</t>
        </is>
      </c>
      <c r="D11" s="2" t="inlineStr">
        <is>
          <t>Fanpage</t>
        </is>
      </c>
      <c r="E11" s="2" t="inlineStr">
        <is>
          <t>Bài tròng lọc ánh sáng xanh: xin giá</t>
        </is>
      </c>
      <c r="F11" s="2" t="inlineStr">
        <is>
          <t>https://business.facebook.com/latest/inbox/facebook?asset_id=190065937527579&amp;thread_type=FB_PAGE_POST&amp;selected_item_id=1314258838441611</t>
        </is>
      </c>
      <c r="G11" s="2" t="inlineStr">
        <is>
          <t>Trung tính</t>
        </is>
      </c>
      <c r="H11" s="2" t="inlineStr">
        <is>
          <t>Giá</t>
        </is>
      </c>
      <c r="I11" s="2" t="inlineStr">
        <is>
          <t>Có</t>
        </is>
      </c>
      <c r="J11" s="2" t="inlineStr">
        <is>
          <t>Có</t>
        </is>
      </c>
      <c r="K11" s="2" t="inlineStr">
        <is>
          <t>1</t>
        </is>
      </c>
      <c r="L11" s="2" t="inlineStr">
        <is>
          <t>Ngày ≈ 02–08/10, có thể ngoài kỳ. Có 1 phản hồi</t>
        </is>
      </c>
    </row>
    <row r="12">
      <c r="A12" s="2">
        <f>IF(E12="","",ROW()-1)</f>
        <v/>
      </c>
      <c r="B12" s="3" t="n">
        <v>46303</v>
      </c>
      <c r="C12" s="2" t="inlineStr">
        <is>
          <t>Facebook</t>
        </is>
      </c>
      <c r="D12" s="2" t="inlineStr">
        <is>
          <t>Fanpage</t>
        </is>
      </c>
      <c r="E12" s="2" t="inlineStr">
        <is>
          <t>Bài "Ra đường phải nheo mắt": hỏi kính chống lóa đi đêm</t>
        </is>
      </c>
      <c r="F12" s="2" t="inlineStr">
        <is>
          <t>https://business.facebook.com/latest/inbox/facebook?asset_id=190065937527579&amp;thread_type=FB_PAGE_POST&amp;selected_item_id=1343448765522618</t>
        </is>
      </c>
      <c r="G12" s="2" t="inlineStr">
        <is>
          <t>Trung tính</t>
        </is>
      </c>
      <c r="H12" s="2" t="inlineStr">
        <is>
          <t>Mẫu mã</t>
        </is>
      </c>
      <c r="I12" s="2" t="inlineStr">
        <is>
          <t>Có</t>
        </is>
      </c>
      <c r="J12" s="2" t="inlineStr">
        <is>
          <t>Có</t>
        </is>
      </c>
      <c r="K12" s="2" t="inlineStr">
        <is>
          <t>1</t>
        </is>
      </c>
      <c r="L12" s="2" t="inlineStr">
        <is>
          <t>Ngày ≈ 02–08/10, có thể ngoài kỳ. Có 1 phản hồi</t>
        </is>
      </c>
    </row>
    <row r="13">
      <c r="A13" s="2">
        <f>IF(E13="","",ROW()-1)</f>
        <v/>
      </c>
      <c r="B13" s="3" t="n">
        <v>46303</v>
      </c>
      <c r="C13" s="2" t="inlineStr">
        <is>
          <t>Facebook</t>
        </is>
      </c>
      <c r="D13" s="2" t="inlineStr">
        <is>
          <t>Fanpage</t>
        </is>
      </c>
      <c r="E13" s="2" t="inlineStr">
        <is>
          <t>Bài "Cận 4–5 độ" (30/9): xin giá tròng đổi màu</t>
        </is>
      </c>
      <c r="F13" s="2" t="inlineStr">
        <is>
          <t>https://business.facebook.com/latest/inbox/facebook?asset_id=190065937527579&amp;thread_type=FB_PAGE_POST&amp;selected_item_id=1347270231807138</t>
        </is>
      </c>
      <c r="G13" s="2" t="inlineStr">
        <is>
          <t>Trung tính</t>
        </is>
      </c>
      <c r="H13" s="2" t="inlineStr">
        <is>
          <t>Giá</t>
        </is>
      </c>
      <c r="I13" s="2" t="inlineStr">
        <is>
          <t>Có</t>
        </is>
      </c>
      <c r="J13" s="2" t="inlineStr">
        <is>
          <t>Có</t>
        </is>
      </c>
      <c r="K13" s="2" t="inlineStr">
        <is>
          <t>1</t>
        </is>
      </c>
      <c r="L13" s="2" t="inlineStr">
        <is>
          <t>Ngày ≈ 08/10 ("1 tuần"). Câu mẫu "đã inbox"</t>
        </is>
      </c>
    </row>
    <row r="14">
      <c r="A14" s="2">
        <f>IF(E14="","",ROW()-1)</f>
        <v/>
      </c>
      <c r="B14" s="3" t="n">
        <v>46303</v>
      </c>
      <c r="C14" s="2" t="inlineStr">
        <is>
          <t>Google Maps</t>
        </is>
      </c>
      <c r="D14" s="2" t="inlineStr">
        <is>
          <t>Kính mắt COKI</t>
        </is>
      </c>
      <c r="E14" s="2" t="inlineStr">
        <is>
          <t>COKI Thủy Nguyên – 1 sao: đo mắt 2 lần, cả 2 lần đến cắt kính đều báo hết tròng; rất thất vọng, có thể không quay lại</t>
        </is>
      </c>
      <c r="F14" s="2" t="inlineStr">
        <is>
          <t>Google Maps – bài mới nhất (cửa hàng Thủy Nguyên)</t>
        </is>
      </c>
      <c r="G14" s="2" t="inlineStr">
        <is>
          <t>Tiêu cực</t>
        </is>
      </c>
      <c r="H14" s="2" t="inlineStr">
        <is>
          <t>Dịch vụ</t>
        </is>
      </c>
      <c r="I14" s="2" t="inlineStr">
        <is>
          <t>Có</t>
        </is>
      </c>
      <c r="J14" s="2" t="inlineStr">
        <is>
          <t>Chưa</t>
        </is>
      </c>
      <c r="K14" s="2" t="inlineStr">
        <is>
          <t>—</t>
        </is>
      </c>
      <c r="L14" s="2" t="inlineStr">
        <is>
          <t>Ngày không chính xác ("một tuần trước"), có thể ngoài kỳ. Cửa hàng chưa trả lời</t>
        </is>
      </c>
    </row>
    <row r="15">
      <c r="A15" s="2">
        <f>IF(E15="","",ROW()-1)</f>
        <v/>
      </c>
      <c r="B15" s="3" t="n">
        <v>46308</v>
      </c>
      <c r="C15" s="2" t="inlineStr">
        <is>
          <t>TikTok</t>
        </is>
      </c>
      <c r="D15" s="2" t="inlineStr">
        <is>
          <t>Kính mắt COKI / kính COKI</t>
        </is>
      </c>
      <c r="E15" s="2" t="inlineStr">
        <is>
          <t>Video giới thiệu tròng Essilor Eyezen (@kinhmatcoki)</t>
        </is>
      </c>
      <c r="F15" s="2" t="inlineStr">
        <is>
          <t>Xem trong báo cáo khảo sát</t>
        </is>
      </c>
      <c r="G15" s="2" t="inlineStr">
        <is>
          <t>Trung tính</t>
        </is>
      </c>
      <c r="H15" s="2" t="inlineStr">
        <is>
          <t>Mẫu mã</t>
        </is>
      </c>
      <c r="I15" s="2" t="inlineStr">
        <is>
          <t>Không</t>
        </is>
      </c>
      <c r="J15" s="2" t="inlineStr">
        <is>
          <t>—</t>
        </is>
      </c>
      <c r="K15" s="2" t="inlineStr">
        <is>
          <t>303 xem, 2 tim, 0 bình luận</t>
        </is>
      </c>
      <c r="L15" s="2" t="inlineStr">
        <is>
          <t>Lượt chia sẻ không lấy được</t>
        </is>
      </c>
    </row>
    <row r="16">
      <c r="A16" s="2">
        <f>IF(E16="","",ROW()-1)</f>
        <v/>
      </c>
      <c r="B16" s="3" t="n">
        <v>46304</v>
      </c>
      <c r="C16" s="2" t="inlineStr">
        <is>
          <t>TikTok</t>
        </is>
      </c>
      <c r="D16" s="2" t="inlineStr">
        <is>
          <t>Kính mắt COKI</t>
        </is>
      </c>
      <c r="E16" s="2" t="inlineStr">
        <is>
          <t>Bài ảnh: gọng mới về (@kinhmatcoki)</t>
        </is>
      </c>
      <c r="F16" s="2" t="inlineStr">
        <is>
          <t>Xem trong báo cáo khảo sát</t>
        </is>
      </c>
      <c r="G16" s="2" t="inlineStr">
        <is>
          <t>Trung tính</t>
        </is>
      </c>
      <c r="H16" s="2" t="inlineStr">
        <is>
          <t>Mẫu mã</t>
        </is>
      </c>
      <c r="I16" s="2" t="inlineStr">
        <is>
          <t>Không</t>
        </is>
      </c>
      <c r="J16" s="2" t="inlineStr">
        <is>
          <t>—</t>
        </is>
      </c>
      <c r="K16" s="2" t="inlineStr">
        <is>
          <t>363 xem, 1 tim, 0 bình luận</t>
        </is>
      </c>
      <c r="L16" s="2" t="inlineStr">
        <is>
          <t>Lượt chia sẻ không lấy được</t>
        </is>
      </c>
    </row>
    <row r="17">
      <c r="A17" s="2">
        <f>IF(E17="","",ROW()-1)</f>
        <v/>
      </c>
      <c r="B17" s="3" t="n">
        <v>46302</v>
      </c>
      <c r="C17" s="2" t="inlineStr">
        <is>
          <t>TikTok</t>
        </is>
      </c>
      <c r="D17" s="2" t="inlineStr">
        <is>
          <t>Kính mắt COKI</t>
        </is>
      </c>
      <c r="E17" s="2" t="inlineStr">
        <is>
          <t>Bài ảnh: deal Tháng của nàng (@kinhmatcoki)</t>
        </is>
      </c>
      <c r="F17" s="2" t="inlineStr">
        <is>
          <t>Xem trong báo cáo khảo sát</t>
        </is>
      </c>
      <c r="G17" s="2" t="inlineStr">
        <is>
          <t>Trung tính</t>
        </is>
      </c>
      <c r="H17" s="2" t="inlineStr">
        <is>
          <t>Khuyến mãi</t>
        </is>
      </c>
      <c r="I17" s="2" t="inlineStr">
        <is>
          <t>Không</t>
        </is>
      </c>
      <c r="J17" s="2" t="inlineStr">
        <is>
          <t>—</t>
        </is>
      </c>
      <c r="K17" s="2" t="inlineStr">
        <is>
          <t>365 xem, 0 tim, 0 bình luận</t>
        </is>
      </c>
      <c r="L17" s="2" t="inlineStr">
        <is>
          <t>Lượt chia sẻ không lấy được</t>
        </is>
      </c>
    </row>
    <row r="18">
      <c r="A18" s="2">
        <f>IF(E18="","",ROW()-1)</f>
        <v/>
      </c>
      <c r="B18" s="3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>
        <f>IF(E19="","",ROW()-1)</f>
        <v/>
      </c>
      <c r="B19" s="3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>
        <f>IF(E20="","",ROW()-1)</f>
        <v/>
      </c>
      <c r="B20" s="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>
        <f>IF(E21="","",ROW()-1)</f>
        <v/>
      </c>
      <c r="B21" s="3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>
        <f>IF(E22="","",ROW()-1)</f>
        <v/>
      </c>
      <c r="B22" s="3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>
        <f>IF(E23="","",ROW()-1)</f>
        <v/>
      </c>
      <c r="B23" s="3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>
        <f>IF(E24="","",ROW()-1)</f>
        <v/>
      </c>
      <c r="B24" s="3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>
        <f>IF(E25="","",ROW()-1)</f>
        <v/>
      </c>
      <c r="B25" s="3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>
        <f>IF(E26="","",ROW()-1)</f>
        <v/>
      </c>
      <c r="B26" s="3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>
        <f>IF(E27="","",ROW()-1)</f>
        <v/>
      </c>
      <c r="B27" s="3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>
        <f>IF(E28="","",ROW()-1)</f>
        <v/>
      </c>
      <c r="B28" s="3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>
        <f>IF(E29="","",ROW()-1)</f>
        <v/>
      </c>
      <c r="B29" s="3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>
        <f>IF(E30="","",ROW()-1)</f>
        <v/>
      </c>
      <c r="B30" s="3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>
        <f>IF(E31="","",ROW()-1)</f>
        <v/>
      </c>
      <c r="B31" s="3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>
        <f>IF(E32="","",ROW()-1)</f>
        <v/>
      </c>
      <c r="B32" s="3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>
        <f>IF(E33="","",ROW()-1)</f>
        <v/>
      </c>
      <c r="B33" s="3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>
        <f>IF(E34="","",ROW()-1)</f>
        <v/>
      </c>
      <c r="B34" s="3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>
        <f>IF(E35="","",ROW()-1)</f>
        <v/>
      </c>
      <c r="B35" s="3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>
        <f>IF(E36="","",ROW()-1)</f>
        <v/>
      </c>
      <c r="B36" s="3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>
        <f>IF(E37="","",ROW()-1)</f>
        <v/>
      </c>
      <c r="B37" s="3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>
        <f>IF(E38="","",ROW()-1)</f>
        <v/>
      </c>
      <c r="B38" s="3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>
        <f>IF(E39="","",ROW()-1)</f>
        <v/>
      </c>
      <c r="B39" s="3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>
        <f>IF(E40="","",ROW()-1)</f>
        <v/>
      </c>
      <c r="B40" s="3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>
        <f>IF(E41="","",ROW()-1)</f>
        <v/>
      </c>
      <c r="B41" s="3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>
        <f>IF(E42="","",ROW()-1)</f>
        <v/>
      </c>
      <c r="B42" s="3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>
        <f>IF(E43="","",ROW()-1)</f>
        <v/>
      </c>
      <c r="B43" s="3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>
        <f>IF(E44="","",ROW()-1)</f>
        <v/>
      </c>
      <c r="B44" s="3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>
        <f>IF(E45="","",ROW()-1)</f>
        <v/>
      </c>
      <c r="B45" s="3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>
        <f>IF(E46="","",ROW()-1)</f>
        <v/>
      </c>
      <c r="B46" s="3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>
        <f>IF(E47="","",ROW()-1)</f>
        <v/>
      </c>
      <c r="B47" s="3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>
        <f>IF(E48="","",ROW()-1)</f>
        <v/>
      </c>
      <c r="B48" s="3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>
        <f>IF(E49="","",ROW()-1)</f>
        <v/>
      </c>
      <c r="B49" s="3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>
        <f>IF(E50="","",ROW()-1)</f>
        <v/>
      </c>
      <c r="B50" s="3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>
        <f>IF(E51="","",ROW()-1)</f>
        <v/>
      </c>
      <c r="B51" s="3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>
        <f>IF(E52="","",ROW()-1)</f>
        <v/>
      </c>
      <c r="B52" s="3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>
        <f>IF(E53="","",ROW()-1)</f>
        <v/>
      </c>
      <c r="B53" s="3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>
        <f>IF(E54="","",ROW()-1)</f>
        <v/>
      </c>
      <c r="B54" s="3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>
        <f>IF(E55="","",ROW()-1)</f>
        <v/>
      </c>
      <c r="B55" s="3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>
        <f>IF(E56="","",ROW()-1)</f>
        <v/>
      </c>
      <c r="B56" s="3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>
        <f>IF(E57="","",ROW()-1)</f>
        <v/>
      </c>
      <c r="B57" s="3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>
        <f>IF(E58="","",ROW()-1)</f>
        <v/>
      </c>
      <c r="B58" s="3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>
        <f>IF(E59="","",ROW()-1)</f>
        <v/>
      </c>
      <c r="B59" s="3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>
        <f>IF(E60="","",ROW()-1)</f>
        <v/>
      </c>
      <c r="B60" s="3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>
        <f>IF(E61="","",ROW()-1)</f>
        <v/>
      </c>
      <c r="B61" s="3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>
        <f>IF(E62="","",ROW()-1)</f>
        <v/>
      </c>
      <c r="B62" s="3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>
        <f>IF(E63="","",ROW()-1)</f>
        <v/>
      </c>
      <c r="B63" s="3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>
        <f>IF(E64="","",ROW()-1)</f>
        <v/>
      </c>
      <c r="B64" s="3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>
        <f>IF(E65="","",ROW()-1)</f>
        <v/>
      </c>
      <c r="B65" s="3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>
        <f>IF(E66="","",ROW()-1)</f>
        <v/>
      </c>
      <c r="B66" s="3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>
        <f>IF(E67="","",ROW()-1)</f>
        <v/>
      </c>
      <c r="B67" s="3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>
        <f>IF(E68="","",ROW()-1)</f>
        <v/>
      </c>
      <c r="B68" s="3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>
        <f>IF(E69="","",ROW()-1)</f>
        <v/>
      </c>
      <c r="B69" s="3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>
        <f>IF(E70="","",ROW()-1)</f>
        <v/>
      </c>
      <c r="B70" s="3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>
        <f>IF(E71="","",ROW()-1)</f>
        <v/>
      </c>
      <c r="B71" s="3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>
        <f>IF(E72="","",ROW()-1)</f>
        <v/>
      </c>
      <c r="B72" s="3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>
        <f>IF(E73="","",ROW()-1)</f>
        <v/>
      </c>
      <c r="B73" s="3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>
        <f>IF(E74="","",ROW()-1)</f>
        <v/>
      </c>
      <c r="B74" s="3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>
        <f>IF(E75="","",ROW()-1)</f>
        <v/>
      </c>
      <c r="B75" s="3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>
        <f>IF(E76="","",ROW()-1)</f>
        <v/>
      </c>
      <c r="B76" s="3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>
        <f>IF(E77="","",ROW()-1)</f>
        <v/>
      </c>
      <c r="B77" s="3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>
        <f>IF(E78="","",ROW()-1)</f>
        <v/>
      </c>
      <c r="B78" s="3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>
        <f>IF(E79="","",ROW()-1)</f>
        <v/>
      </c>
      <c r="B79" s="3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>
        <f>IF(E80="","",ROW()-1)</f>
        <v/>
      </c>
      <c r="B80" s="3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>
        <f>IF(E81="","",ROW()-1)</f>
        <v/>
      </c>
      <c r="B81" s="3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>
        <f>IF(E82="","",ROW()-1)</f>
        <v/>
      </c>
      <c r="B82" s="3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>
        <f>IF(E83="","",ROW()-1)</f>
        <v/>
      </c>
      <c r="B83" s="3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>
        <f>IF(E84="","",ROW()-1)</f>
        <v/>
      </c>
      <c r="B84" s="3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>
        <f>IF(E85="","",ROW()-1)</f>
        <v/>
      </c>
      <c r="B85" s="3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>
        <f>IF(E86="","",ROW()-1)</f>
        <v/>
      </c>
      <c r="B86" s="3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>
        <f>IF(E87="","",ROW()-1)</f>
        <v/>
      </c>
      <c r="B87" s="3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>
        <f>IF(E88="","",ROW()-1)</f>
        <v/>
      </c>
      <c r="B88" s="3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>
        <f>IF(E89="","",ROW()-1)</f>
        <v/>
      </c>
      <c r="B89" s="3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>
        <f>IF(E90="","",ROW()-1)</f>
        <v/>
      </c>
      <c r="B90" s="3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>
        <f>IF(E91="","",ROW()-1)</f>
        <v/>
      </c>
      <c r="B91" s="3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>
        <f>IF(E92="","",ROW()-1)</f>
        <v/>
      </c>
      <c r="B92" s="3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>
        <f>IF(E93="","",ROW()-1)</f>
        <v/>
      </c>
      <c r="B93" s="3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>
        <f>IF(E94="","",ROW()-1)</f>
        <v/>
      </c>
      <c r="B94" s="3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>
        <f>IF(E95="","",ROW()-1)</f>
        <v/>
      </c>
      <c r="B95" s="3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>
        <f>IF(E96="","",ROW()-1)</f>
        <v/>
      </c>
      <c r="B96" s="3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>
        <f>IF(E97="","",ROW()-1)</f>
        <v/>
      </c>
      <c r="B97" s="3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>
        <f>IF(E98="","",ROW()-1)</f>
        <v/>
      </c>
      <c r="B98" s="3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>
        <f>IF(E99="","",ROW()-1)</f>
        <v/>
      </c>
      <c r="B99" s="3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>
        <f>IF(E100="","",ROW()-1)</f>
        <v/>
      </c>
      <c r="B100" s="3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>
        <f>IF(E101="","",ROW()-1)</f>
        <v/>
      </c>
      <c r="B101" s="3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>
        <f>IF(E102="","",ROW()-1)</f>
        <v/>
      </c>
      <c r="B102" s="3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>
        <f>IF(E103="","",ROW()-1)</f>
        <v/>
      </c>
      <c r="B103" s="3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>
        <f>IF(E104="","",ROW()-1)</f>
        <v/>
      </c>
      <c r="B104" s="3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>
        <f>IF(E105="","",ROW()-1)</f>
        <v/>
      </c>
      <c r="B105" s="3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>
        <f>IF(E106="","",ROW()-1)</f>
        <v/>
      </c>
      <c r="B106" s="3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>
        <f>IF(E107="","",ROW()-1)</f>
        <v/>
      </c>
      <c r="B107" s="3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>
        <f>IF(E108="","",ROW()-1)</f>
        <v/>
      </c>
      <c r="B108" s="3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>
        <f>IF(E109="","",ROW()-1)</f>
        <v/>
      </c>
      <c r="B109" s="3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>
        <f>IF(E110="","",ROW()-1)</f>
        <v/>
      </c>
      <c r="B110" s="3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>
        <f>IF(E111="","",ROW()-1)</f>
        <v/>
      </c>
      <c r="B111" s="3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>
        <f>IF(E112="","",ROW()-1)</f>
        <v/>
      </c>
      <c r="B112" s="3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>
        <f>IF(E113="","",ROW()-1)</f>
        <v/>
      </c>
      <c r="B113" s="3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>
        <f>IF(E114="","",ROW()-1)</f>
        <v/>
      </c>
      <c r="B114" s="3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>
        <f>IF(E115="","",ROW()-1)</f>
        <v/>
      </c>
      <c r="B115" s="3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>
        <f>IF(E116="","",ROW()-1)</f>
        <v/>
      </c>
      <c r="B116" s="3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>
        <f>IF(E117="","",ROW()-1)</f>
        <v/>
      </c>
      <c r="B117" s="3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>
        <f>IF(E118="","",ROW()-1)</f>
        <v/>
      </c>
      <c r="B118" s="3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>
        <f>IF(E119="","",ROW()-1)</f>
        <v/>
      </c>
      <c r="B119" s="3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>
        <f>IF(E120="","",ROW()-1)</f>
        <v/>
      </c>
      <c r="B120" s="3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>
        <f>IF(E121="","",ROW()-1)</f>
        <v/>
      </c>
      <c r="B121" s="3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>
        <f>IF(E122="","",ROW()-1)</f>
        <v/>
      </c>
      <c r="B122" s="3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>
        <f>IF(E123="","",ROW()-1)</f>
        <v/>
      </c>
      <c r="B123" s="3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>
        <f>IF(E124="","",ROW()-1)</f>
        <v/>
      </c>
      <c r="B124" s="3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>
        <f>IF(E125="","",ROW()-1)</f>
        <v/>
      </c>
      <c r="B125" s="3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>
        <f>IF(E126="","",ROW()-1)</f>
        <v/>
      </c>
      <c r="B126" s="3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>
        <f>IF(E127="","",ROW()-1)</f>
        <v/>
      </c>
      <c r="B127" s="3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>
        <f>IF(E128="","",ROW()-1)</f>
        <v/>
      </c>
      <c r="B128" s="3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>
        <f>IF(E129="","",ROW()-1)</f>
        <v/>
      </c>
      <c r="B129" s="3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>
        <f>IF(E130="","",ROW()-1)</f>
        <v/>
      </c>
      <c r="B130" s="3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>
        <f>IF(E131="","",ROW()-1)</f>
        <v/>
      </c>
      <c r="B131" s="3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>
        <f>IF(E132="","",ROW()-1)</f>
        <v/>
      </c>
      <c r="B132" s="3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>
        <f>IF(E133="","",ROW()-1)</f>
        <v/>
      </c>
      <c r="B133" s="3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>
        <f>IF(E134="","",ROW()-1)</f>
        <v/>
      </c>
      <c r="B134" s="3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>
        <f>IF(E135="","",ROW()-1)</f>
        <v/>
      </c>
      <c r="B135" s="3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>
        <f>IF(E136="","",ROW()-1)</f>
        <v/>
      </c>
      <c r="B136" s="3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>
        <f>IF(E137="","",ROW()-1)</f>
        <v/>
      </c>
      <c r="B137" s="3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>
        <f>IF(E138="","",ROW()-1)</f>
        <v/>
      </c>
      <c r="B138" s="3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>
        <f>IF(E139="","",ROW()-1)</f>
        <v/>
      </c>
      <c r="B139" s="3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>
        <f>IF(E140="","",ROW()-1)</f>
        <v/>
      </c>
      <c r="B140" s="3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>
        <f>IF(E141="","",ROW()-1)</f>
        <v/>
      </c>
      <c r="B141" s="3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>
        <f>IF(E142="","",ROW()-1)</f>
        <v/>
      </c>
      <c r="B142" s="3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>
        <f>IF(E143="","",ROW()-1)</f>
        <v/>
      </c>
      <c r="B143" s="3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>
        <f>IF(E144="","",ROW()-1)</f>
        <v/>
      </c>
      <c r="B144" s="3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>
        <f>IF(E145="","",ROW()-1)</f>
        <v/>
      </c>
      <c r="B145" s="3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>
        <f>IF(E146="","",ROW()-1)</f>
        <v/>
      </c>
      <c r="B146" s="3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>
        <f>IF(E147="","",ROW()-1)</f>
        <v/>
      </c>
      <c r="B147" s="3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>
        <f>IF(E148="","",ROW()-1)</f>
        <v/>
      </c>
      <c r="B148" s="3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>
        <f>IF(E149="","",ROW()-1)</f>
        <v/>
      </c>
      <c r="B149" s="3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>
        <f>IF(E150="","",ROW()-1)</f>
        <v/>
      </c>
      <c r="B150" s="3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>
        <f>IF(E151="","",ROW()-1)</f>
        <v/>
      </c>
      <c r="B151" s="3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>
        <f>IF(E152="","",ROW()-1)</f>
        <v/>
      </c>
      <c r="B152" s="3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>
        <f>IF(E153="","",ROW()-1)</f>
        <v/>
      </c>
      <c r="B153" s="3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>
        <f>IF(E154="","",ROW()-1)</f>
        <v/>
      </c>
      <c r="B154" s="3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>
        <f>IF(E155="","",ROW()-1)</f>
        <v/>
      </c>
      <c r="B155" s="3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>
        <f>IF(E156="","",ROW()-1)</f>
        <v/>
      </c>
      <c r="B156" s="3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>
        <f>IF(E157="","",ROW()-1)</f>
        <v/>
      </c>
      <c r="B157" s="3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>
        <f>IF(E158="","",ROW()-1)</f>
        <v/>
      </c>
      <c r="B158" s="3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>
        <f>IF(E159="","",ROW()-1)</f>
        <v/>
      </c>
      <c r="B159" s="3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>
        <f>IF(E160="","",ROW()-1)</f>
        <v/>
      </c>
      <c r="B160" s="3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>
        <f>IF(E161="","",ROW()-1)</f>
        <v/>
      </c>
      <c r="B161" s="3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>
        <f>IF(E162="","",ROW()-1)</f>
        <v/>
      </c>
      <c r="B162" s="3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>
        <f>IF(E163="","",ROW()-1)</f>
        <v/>
      </c>
      <c r="B163" s="3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>
        <f>IF(E164="","",ROW()-1)</f>
        <v/>
      </c>
      <c r="B164" s="3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>
        <f>IF(E165="","",ROW()-1)</f>
        <v/>
      </c>
      <c r="B165" s="3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>
        <f>IF(E166="","",ROW()-1)</f>
        <v/>
      </c>
      <c r="B166" s="3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>
        <f>IF(E167="","",ROW()-1)</f>
        <v/>
      </c>
      <c r="B167" s="3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>
        <f>IF(E168="","",ROW()-1)</f>
        <v/>
      </c>
      <c r="B168" s="3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>
        <f>IF(E169="","",ROW()-1)</f>
        <v/>
      </c>
      <c r="B169" s="3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>
        <f>IF(E170="","",ROW()-1)</f>
        <v/>
      </c>
      <c r="B170" s="3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>
        <f>IF(E171="","",ROW()-1)</f>
        <v/>
      </c>
      <c r="B171" s="3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>
        <f>IF(E172="","",ROW()-1)</f>
        <v/>
      </c>
      <c r="B172" s="3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>
        <f>IF(E173="","",ROW()-1)</f>
        <v/>
      </c>
      <c r="B173" s="3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>
        <f>IF(E174="","",ROW()-1)</f>
        <v/>
      </c>
      <c r="B174" s="3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>
        <f>IF(E175="","",ROW()-1)</f>
        <v/>
      </c>
      <c r="B175" s="3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>
        <f>IF(E176="","",ROW()-1)</f>
        <v/>
      </c>
      <c r="B176" s="3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>
        <f>IF(E177="","",ROW()-1)</f>
        <v/>
      </c>
      <c r="B177" s="3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>
        <f>IF(E178="","",ROW()-1)</f>
        <v/>
      </c>
      <c r="B178" s="3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>
        <f>IF(E179="","",ROW()-1)</f>
        <v/>
      </c>
      <c r="B179" s="3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>
        <f>IF(E180="","",ROW()-1)</f>
        <v/>
      </c>
      <c r="B180" s="3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>
        <f>IF(E181="","",ROW()-1)</f>
        <v/>
      </c>
      <c r="B181" s="3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>
        <f>IF(E182="","",ROW()-1)</f>
        <v/>
      </c>
      <c r="B182" s="3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>
        <f>IF(E183="","",ROW()-1)</f>
        <v/>
      </c>
      <c r="B183" s="3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>
        <f>IF(E184="","",ROW()-1)</f>
        <v/>
      </c>
      <c r="B184" s="3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>
        <f>IF(E185="","",ROW()-1)</f>
        <v/>
      </c>
      <c r="B185" s="3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>
        <f>IF(E186="","",ROW()-1)</f>
        <v/>
      </c>
      <c r="B186" s="3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>
        <f>IF(E187="","",ROW()-1)</f>
        <v/>
      </c>
      <c r="B187" s="3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>
        <f>IF(E188="","",ROW()-1)</f>
        <v/>
      </c>
      <c r="B188" s="3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>
        <f>IF(E189="","",ROW()-1)</f>
        <v/>
      </c>
      <c r="B189" s="3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>
        <f>IF(E190="","",ROW()-1)</f>
        <v/>
      </c>
      <c r="B190" s="3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>
        <f>IF(E191="","",ROW()-1)</f>
        <v/>
      </c>
      <c r="B191" s="3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>
        <f>IF(E192="","",ROW()-1)</f>
        <v/>
      </c>
      <c r="B192" s="3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>
        <f>IF(E193="","",ROW()-1)</f>
        <v/>
      </c>
      <c r="B193" s="3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>
        <f>IF(E194="","",ROW()-1)</f>
        <v/>
      </c>
      <c r="B194" s="3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>
        <f>IF(E195="","",ROW()-1)</f>
        <v/>
      </c>
      <c r="B195" s="3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>
        <f>IF(E196="","",ROW()-1)</f>
        <v/>
      </c>
      <c r="B196" s="3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>
        <f>IF(E197="","",ROW()-1)</f>
        <v/>
      </c>
      <c r="B197" s="3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>
        <f>IF(E198="","",ROW()-1)</f>
        <v/>
      </c>
      <c r="B198" s="3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>
        <f>IF(E199="","",ROW()-1)</f>
        <v/>
      </c>
      <c r="B199" s="3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>
        <f>IF(E200="","",ROW()-1)</f>
        <v/>
      </c>
      <c r="B200" s="3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>
        <f>IF(E201="","",ROW()-1)</f>
        <v/>
      </c>
      <c r="B201" s="3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>
        <f>IF(E202="","",ROW()-1)</f>
        <v/>
      </c>
      <c r="B202" s="3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>
        <f>IF(E203="","",ROW()-1)</f>
        <v/>
      </c>
      <c r="B203" s="3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>
        <f>IF(E204="","",ROW()-1)</f>
        <v/>
      </c>
      <c r="B204" s="3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>
        <f>IF(E205="","",ROW()-1)</f>
        <v/>
      </c>
      <c r="B205" s="3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>
        <f>IF(E206="","",ROW()-1)</f>
        <v/>
      </c>
      <c r="B206" s="3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>
        <f>IF(E207="","",ROW()-1)</f>
        <v/>
      </c>
      <c r="B207" s="3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>
        <f>IF(E208="","",ROW()-1)</f>
        <v/>
      </c>
      <c r="B208" s="3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>
        <f>IF(E209="","",ROW()-1)</f>
        <v/>
      </c>
      <c r="B209" s="3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>
        <f>IF(E210="","",ROW()-1)</f>
        <v/>
      </c>
      <c r="B210" s="3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>
        <f>IF(E211="","",ROW()-1)</f>
        <v/>
      </c>
      <c r="B211" s="3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>
        <f>IF(E212="","",ROW()-1)</f>
        <v/>
      </c>
      <c r="B212" s="3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>
        <f>IF(E213="","",ROW()-1)</f>
        <v/>
      </c>
      <c r="B213" s="3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>
        <f>IF(E214="","",ROW()-1)</f>
        <v/>
      </c>
      <c r="B214" s="3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>
        <f>IF(E215="","",ROW()-1)</f>
        <v/>
      </c>
      <c r="B215" s="3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>
        <f>IF(E216="","",ROW()-1)</f>
        <v/>
      </c>
      <c r="B216" s="3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>
        <f>IF(E217="","",ROW()-1)</f>
        <v/>
      </c>
      <c r="B217" s="3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>
        <f>IF(E218="","",ROW()-1)</f>
        <v/>
      </c>
      <c r="B218" s="3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>
        <f>IF(E219="","",ROW()-1)</f>
        <v/>
      </c>
      <c r="B219" s="3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>
        <f>IF(E220="","",ROW()-1)</f>
        <v/>
      </c>
      <c r="B220" s="3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>
        <f>IF(E221="","",ROW()-1)</f>
        <v/>
      </c>
      <c r="B221" s="3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>
        <f>IF(E222="","",ROW()-1)</f>
        <v/>
      </c>
      <c r="B222" s="3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>
        <f>IF(E223="","",ROW()-1)</f>
        <v/>
      </c>
      <c r="B223" s="3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>
        <f>IF(E224="","",ROW()-1)</f>
        <v/>
      </c>
      <c r="B224" s="3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>
        <f>IF(E225="","",ROW()-1)</f>
        <v/>
      </c>
      <c r="B225" s="3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>
        <f>IF(E226="","",ROW()-1)</f>
        <v/>
      </c>
      <c r="B226" s="3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>
        <f>IF(E227="","",ROW()-1)</f>
        <v/>
      </c>
      <c r="B227" s="3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>
        <f>IF(E228="","",ROW()-1)</f>
        <v/>
      </c>
      <c r="B228" s="3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>
        <f>IF(E229="","",ROW()-1)</f>
        <v/>
      </c>
      <c r="B229" s="3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>
        <f>IF(E230="","",ROW()-1)</f>
        <v/>
      </c>
      <c r="B230" s="3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>
        <f>IF(E231="","",ROW()-1)</f>
        <v/>
      </c>
      <c r="B231" s="3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>
        <f>IF(E232="","",ROW()-1)</f>
        <v/>
      </c>
      <c r="B232" s="3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>
        <f>IF(E233="","",ROW()-1)</f>
        <v/>
      </c>
      <c r="B233" s="3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>
        <f>IF(E234="","",ROW()-1)</f>
        <v/>
      </c>
      <c r="B234" s="3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>
        <f>IF(E235="","",ROW()-1)</f>
        <v/>
      </c>
      <c r="B235" s="3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>
        <f>IF(E236="","",ROW()-1)</f>
        <v/>
      </c>
      <c r="B236" s="3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>
        <f>IF(E237="","",ROW()-1)</f>
        <v/>
      </c>
      <c r="B237" s="3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>
        <f>IF(E238="","",ROW()-1)</f>
        <v/>
      </c>
      <c r="B238" s="3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>
        <f>IF(E239="","",ROW()-1)</f>
        <v/>
      </c>
      <c r="B239" s="3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>
        <f>IF(E240="","",ROW()-1)</f>
        <v/>
      </c>
      <c r="B240" s="3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>
        <f>IF(E241="","",ROW()-1)</f>
        <v/>
      </c>
      <c r="B241" s="3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>
        <f>IF(E242="","",ROW()-1)</f>
        <v/>
      </c>
      <c r="B242" s="3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>
        <f>IF(E243="","",ROW()-1)</f>
        <v/>
      </c>
      <c r="B243" s="3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>
        <f>IF(E244="","",ROW()-1)</f>
        <v/>
      </c>
      <c r="B244" s="3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>
        <f>IF(E245="","",ROW()-1)</f>
        <v/>
      </c>
      <c r="B245" s="3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>
        <f>IF(E246="","",ROW()-1)</f>
        <v/>
      </c>
      <c r="B246" s="3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>
        <f>IF(E247="","",ROW()-1)</f>
        <v/>
      </c>
      <c r="B247" s="3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>
        <f>IF(E248="","",ROW()-1)</f>
        <v/>
      </c>
      <c r="B248" s="3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>
        <f>IF(E249="","",ROW()-1)</f>
        <v/>
      </c>
      <c r="B249" s="3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>
        <f>IF(E250="","",ROW()-1)</f>
        <v/>
      </c>
      <c r="B250" s="3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>
        <f>IF(E251="","",ROW()-1)</f>
        <v/>
      </c>
      <c r="B251" s="3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>
        <f>IF(E252="","",ROW()-1)</f>
        <v/>
      </c>
      <c r="B252" s="3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>
        <f>IF(E253="","",ROW()-1)</f>
        <v/>
      </c>
      <c r="B253" s="3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>
        <f>IF(E254="","",ROW()-1)</f>
        <v/>
      </c>
      <c r="B254" s="3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>
        <f>IF(E255="","",ROW()-1)</f>
        <v/>
      </c>
      <c r="B255" s="3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>
        <f>IF(E256="","",ROW()-1)</f>
        <v/>
      </c>
      <c r="B256" s="3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>
        <f>IF(E257="","",ROW()-1)</f>
        <v/>
      </c>
      <c r="B257" s="3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>
        <f>IF(E258="","",ROW()-1)</f>
        <v/>
      </c>
      <c r="B258" s="3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>
        <f>IF(E259="","",ROW()-1)</f>
        <v/>
      </c>
      <c r="B259" s="3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>
        <f>IF(E260="","",ROW()-1)</f>
        <v/>
      </c>
      <c r="B260" s="3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>
        <f>IF(E261="","",ROW()-1)</f>
        <v/>
      </c>
      <c r="B261" s="3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>
        <f>IF(E262="","",ROW()-1)</f>
        <v/>
      </c>
      <c r="B262" s="3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>
        <f>IF(E263="","",ROW()-1)</f>
        <v/>
      </c>
      <c r="B263" s="3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>
        <f>IF(E264="","",ROW()-1)</f>
        <v/>
      </c>
      <c r="B264" s="3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>
        <f>IF(E265="","",ROW()-1)</f>
        <v/>
      </c>
      <c r="B265" s="3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>
        <f>IF(E266="","",ROW()-1)</f>
        <v/>
      </c>
      <c r="B266" s="3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>
        <f>IF(E267="","",ROW()-1)</f>
        <v/>
      </c>
      <c r="B267" s="3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>
        <f>IF(E268="","",ROW()-1)</f>
        <v/>
      </c>
      <c r="B268" s="3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>
        <f>IF(E269="","",ROW()-1)</f>
        <v/>
      </c>
      <c r="B269" s="3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>
        <f>IF(E270="","",ROW()-1)</f>
        <v/>
      </c>
      <c r="B270" s="3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>
        <f>IF(E271="","",ROW()-1)</f>
        <v/>
      </c>
      <c r="B271" s="3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>
        <f>IF(E272="","",ROW()-1)</f>
        <v/>
      </c>
      <c r="B272" s="3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>
        <f>IF(E273="","",ROW()-1)</f>
        <v/>
      </c>
      <c r="B273" s="3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>
        <f>IF(E274="","",ROW()-1)</f>
        <v/>
      </c>
      <c r="B274" s="3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>
        <f>IF(E275="","",ROW()-1)</f>
        <v/>
      </c>
      <c r="B275" s="3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>
        <f>IF(E276="","",ROW()-1)</f>
        <v/>
      </c>
      <c r="B276" s="3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>
        <f>IF(E277="","",ROW()-1)</f>
        <v/>
      </c>
      <c r="B277" s="3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>
        <f>IF(E278="","",ROW()-1)</f>
        <v/>
      </c>
      <c r="B278" s="3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>
        <f>IF(E279="","",ROW()-1)</f>
        <v/>
      </c>
      <c r="B279" s="3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>
        <f>IF(E280="","",ROW()-1)</f>
        <v/>
      </c>
      <c r="B280" s="3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>
        <f>IF(E281="","",ROW()-1)</f>
        <v/>
      </c>
      <c r="B281" s="3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>
        <f>IF(E282="","",ROW()-1)</f>
        <v/>
      </c>
      <c r="B282" s="3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>
        <f>IF(E283="","",ROW()-1)</f>
        <v/>
      </c>
      <c r="B283" s="3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>
        <f>IF(E284="","",ROW()-1)</f>
        <v/>
      </c>
      <c r="B284" s="3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>
        <f>IF(E285="","",ROW()-1)</f>
        <v/>
      </c>
      <c r="B285" s="3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>
        <f>IF(E286="","",ROW()-1)</f>
        <v/>
      </c>
      <c r="B286" s="3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>
        <f>IF(E287="","",ROW()-1)</f>
        <v/>
      </c>
      <c r="B287" s="3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>
        <f>IF(E288="","",ROW()-1)</f>
        <v/>
      </c>
      <c r="B288" s="3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>
        <f>IF(E289="","",ROW()-1)</f>
        <v/>
      </c>
      <c r="B289" s="3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>
        <f>IF(E290="","",ROW()-1)</f>
        <v/>
      </c>
      <c r="B290" s="3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>
        <f>IF(E291="","",ROW()-1)</f>
        <v/>
      </c>
      <c r="B291" s="3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>
        <f>IF(E292="","",ROW()-1)</f>
        <v/>
      </c>
      <c r="B292" s="3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>
        <f>IF(E293="","",ROW()-1)</f>
        <v/>
      </c>
      <c r="B293" s="3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>
        <f>IF(E294="","",ROW()-1)</f>
        <v/>
      </c>
      <c r="B294" s="3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>
        <f>IF(E295="","",ROW()-1)</f>
        <v/>
      </c>
      <c r="B295" s="3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>
        <f>IF(E296="","",ROW()-1)</f>
        <v/>
      </c>
      <c r="B296" s="3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>
        <f>IF(E297="","",ROW()-1)</f>
        <v/>
      </c>
      <c r="B297" s="3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>
        <f>IF(E298="","",ROW()-1)</f>
        <v/>
      </c>
      <c r="B298" s="3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>
        <f>IF(E299="","",ROW()-1)</f>
        <v/>
      </c>
      <c r="B299" s="3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>
        <f>IF(E300="","",ROW()-1)</f>
        <v/>
      </c>
      <c r="B300" s="3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>
        <f>IF(E301="","",ROW()-1)</f>
        <v/>
      </c>
      <c r="B301" s="3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>
        <f>IF(E302="","",ROW()-1)</f>
        <v/>
      </c>
      <c r="B302" s="3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>
        <f>IF(E303="","",ROW()-1)</f>
        <v/>
      </c>
      <c r="B303" s="3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>
        <f>IF(E304="","",ROW()-1)</f>
        <v/>
      </c>
      <c r="B304" s="3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>
        <f>IF(E305="","",ROW()-1)</f>
        <v/>
      </c>
      <c r="B305" s="3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>
        <f>IF(E306="","",ROW()-1)</f>
        <v/>
      </c>
      <c r="B306" s="3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>
        <f>IF(E307="","",ROW()-1)</f>
        <v/>
      </c>
      <c r="B307" s="3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>
        <f>IF(E308="","",ROW()-1)</f>
        <v/>
      </c>
      <c r="B308" s="3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>
        <f>IF(E309="","",ROW()-1)</f>
        <v/>
      </c>
      <c r="B309" s="3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>
        <f>IF(E310="","",ROW()-1)</f>
        <v/>
      </c>
      <c r="B310" s="3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>
        <f>IF(E311="","",ROW()-1)</f>
        <v/>
      </c>
      <c r="B311" s="3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>
        <f>IF(E312="","",ROW()-1)</f>
        <v/>
      </c>
      <c r="B312" s="3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>
        <f>IF(E313="","",ROW()-1)</f>
        <v/>
      </c>
      <c r="B313" s="3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>
        <f>IF(E314="","",ROW()-1)</f>
        <v/>
      </c>
      <c r="B314" s="3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>
        <f>IF(E315="","",ROW()-1)</f>
        <v/>
      </c>
      <c r="B315" s="3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>
        <f>IF(E316="","",ROW()-1)</f>
        <v/>
      </c>
      <c r="B316" s="3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>
        <f>IF(E317="","",ROW()-1)</f>
        <v/>
      </c>
      <c r="B317" s="3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>
        <f>IF(E318="","",ROW()-1)</f>
        <v/>
      </c>
      <c r="B318" s="3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>
        <f>IF(E319="","",ROW()-1)</f>
        <v/>
      </c>
      <c r="B319" s="3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>
        <f>IF(E320="","",ROW()-1)</f>
        <v/>
      </c>
      <c r="B320" s="3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>
        <f>IF(E321="","",ROW()-1)</f>
        <v/>
      </c>
      <c r="B321" s="3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>
        <f>IF(E322="","",ROW()-1)</f>
        <v/>
      </c>
      <c r="B322" s="3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>
        <f>IF(E323="","",ROW()-1)</f>
        <v/>
      </c>
      <c r="B323" s="3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>
        <f>IF(E324="","",ROW()-1)</f>
        <v/>
      </c>
      <c r="B324" s="3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>
        <f>IF(E325="","",ROW()-1)</f>
        <v/>
      </c>
      <c r="B325" s="3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>
        <f>IF(E326="","",ROW()-1)</f>
        <v/>
      </c>
      <c r="B326" s="3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>
        <f>IF(E327="","",ROW()-1)</f>
        <v/>
      </c>
      <c r="B327" s="3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>
        <f>IF(E328="","",ROW()-1)</f>
        <v/>
      </c>
      <c r="B328" s="3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>
        <f>IF(E329="","",ROW()-1)</f>
        <v/>
      </c>
      <c r="B329" s="3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>
        <f>IF(E330="","",ROW()-1)</f>
        <v/>
      </c>
      <c r="B330" s="3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>
        <f>IF(E331="","",ROW()-1)</f>
        <v/>
      </c>
      <c r="B331" s="3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>
        <f>IF(E332="","",ROW()-1)</f>
        <v/>
      </c>
      <c r="B332" s="3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>
        <f>IF(E333="","",ROW()-1)</f>
        <v/>
      </c>
      <c r="B333" s="3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>
        <f>IF(E334="","",ROW()-1)</f>
        <v/>
      </c>
      <c r="B334" s="3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>
        <f>IF(E335="","",ROW()-1)</f>
        <v/>
      </c>
      <c r="B335" s="3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>
        <f>IF(E336="","",ROW()-1)</f>
        <v/>
      </c>
      <c r="B336" s="3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>
        <f>IF(E337="","",ROW()-1)</f>
        <v/>
      </c>
      <c r="B337" s="3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>
        <f>IF(E338="","",ROW()-1)</f>
        <v/>
      </c>
      <c r="B338" s="3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>
        <f>IF(E339="","",ROW()-1)</f>
        <v/>
      </c>
      <c r="B339" s="3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>
        <f>IF(E340="","",ROW()-1)</f>
        <v/>
      </c>
      <c r="B340" s="3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>
        <f>IF(E341="","",ROW()-1)</f>
        <v/>
      </c>
      <c r="B341" s="3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>
        <f>IF(E342="","",ROW()-1)</f>
        <v/>
      </c>
      <c r="B342" s="3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>
        <f>IF(E343="","",ROW()-1)</f>
        <v/>
      </c>
      <c r="B343" s="3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>
        <f>IF(E344="","",ROW()-1)</f>
        <v/>
      </c>
      <c r="B344" s="3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>
        <f>IF(E345="","",ROW()-1)</f>
        <v/>
      </c>
      <c r="B345" s="3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>
        <f>IF(E346="","",ROW()-1)</f>
        <v/>
      </c>
      <c r="B346" s="3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>
        <f>IF(E347="","",ROW()-1)</f>
        <v/>
      </c>
      <c r="B347" s="3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>
        <f>IF(E348="","",ROW()-1)</f>
        <v/>
      </c>
      <c r="B348" s="3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>
        <f>IF(E349="","",ROW()-1)</f>
        <v/>
      </c>
      <c r="B349" s="3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>
        <f>IF(E350="","",ROW()-1)</f>
        <v/>
      </c>
      <c r="B350" s="3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>
        <f>IF(E351="","",ROW()-1)</f>
        <v/>
      </c>
      <c r="B351" s="3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>
        <f>IF(E352="","",ROW()-1)</f>
        <v/>
      </c>
      <c r="B352" s="3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>
        <f>IF(E353="","",ROW()-1)</f>
        <v/>
      </c>
      <c r="B353" s="3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>
        <f>IF(E354="","",ROW()-1)</f>
        <v/>
      </c>
      <c r="B354" s="3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>
        <f>IF(E355="","",ROW()-1)</f>
        <v/>
      </c>
      <c r="B355" s="3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>
        <f>IF(E356="","",ROW()-1)</f>
        <v/>
      </c>
      <c r="B356" s="3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>
        <f>IF(E357="","",ROW()-1)</f>
        <v/>
      </c>
      <c r="B357" s="3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>
        <f>IF(E358="","",ROW()-1)</f>
        <v/>
      </c>
      <c r="B358" s="3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>
        <f>IF(E359="","",ROW()-1)</f>
        <v/>
      </c>
      <c r="B359" s="3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>
        <f>IF(E360="","",ROW()-1)</f>
        <v/>
      </c>
      <c r="B360" s="3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>
        <f>IF(E361="","",ROW()-1)</f>
        <v/>
      </c>
      <c r="B361" s="3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>
        <f>IF(E362="","",ROW()-1)</f>
        <v/>
      </c>
      <c r="B362" s="3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>
        <f>IF(E363="","",ROW()-1)</f>
        <v/>
      </c>
      <c r="B363" s="3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>
        <f>IF(E364="","",ROW()-1)</f>
        <v/>
      </c>
      <c r="B364" s="3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>
        <f>IF(E365="","",ROW()-1)</f>
        <v/>
      </c>
      <c r="B365" s="3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>
        <f>IF(E366="","",ROW()-1)</f>
        <v/>
      </c>
      <c r="B366" s="3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>
        <f>IF(E367="","",ROW()-1)</f>
        <v/>
      </c>
      <c r="B367" s="3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>
        <f>IF(E368="","",ROW()-1)</f>
        <v/>
      </c>
      <c r="B368" s="3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>
        <f>IF(E369="","",ROW()-1)</f>
        <v/>
      </c>
      <c r="B369" s="3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>
        <f>IF(E370="","",ROW()-1)</f>
        <v/>
      </c>
      <c r="B370" s="3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>
        <f>IF(E371="","",ROW()-1)</f>
        <v/>
      </c>
      <c r="B371" s="3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>
        <f>IF(E372="","",ROW()-1)</f>
        <v/>
      </c>
      <c r="B372" s="3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>
        <f>IF(E373="","",ROW()-1)</f>
        <v/>
      </c>
      <c r="B373" s="3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>
        <f>IF(E374="","",ROW()-1)</f>
        <v/>
      </c>
      <c r="B374" s="3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>
        <f>IF(E375="","",ROW()-1)</f>
        <v/>
      </c>
      <c r="B375" s="3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>
        <f>IF(E376="","",ROW()-1)</f>
        <v/>
      </c>
      <c r="B376" s="3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>
        <f>IF(E377="","",ROW()-1)</f>
        <v/>
      </c>
      <c r="B377" s="3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>
        <f>IF(E378="","",ROW()-1)</f>
        <v/>
      </c>
      <c r="B378" s="3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>
        <f>IF(E379="","",ROW()-1)</f>
        <v/>
      </c>
      <c r="B379" s="3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>
        <f>IF(E380="","",ROW()-1)</f>
        <v/>
      </c>
      <c r="B380" s="3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>
        <f>IF(E381="","",ROW()-1)</f>
        <v/>
      </c>
      <c r="B381" s="3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>
        <f>IF(E382="","",ROW()-1)</f>
        <v/>
      </c>
      <c r="B382" s="3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>
        <f>IF(E383="","",ROW()-1)</f>
        <v/>
      </c>
      <c r="B383" s="3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>
        <f>IF(E384="","",ROW()-1)</f>
        <v/>
      </c>
      <c r="B384" s="3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>
        <f>IF(E385="","",ROW()-1)</f>
        <v/>
      </c>
      <c r="B385" s="3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>
        <f>IF(E386="","",ROW()-1)</f>
        <v/>
      </c>
      <c r="B386" s="3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>
        <f>IF(E387="","",ROW()-1)</f>
        <v/>
      </c>
      <c r="B387" s="3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>
        <f>IF(E388="","",ROW()-1)</f>
        <v/>
      </c>
      <c r="B388" s="3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>
        <f>IF(E389="","",ROW()-1)</f>
        <v/>
      </c>
      <c r="B389" s="3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>
        <f>IF(E390="","",ROW()-1)</f>
        <v/>
      </c>
      <c r="B390" s="3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>
        <f>IF(E391="","",ROW()-1)</f>
        <v/>
      </c>
      <c r="B391" s="3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>
        <f>IF(E392="","",ROW()-1)</f>
        <v/>
      </c>
      <c r="B392" s="3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>
        <f>IF(E393="","",ROW()-1)</f>
        <v/>
      </c>
      <c r="B393" s="3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>
        <f>IF(E394="","",ROW()-1)</f>
        <v/>
      </c>
      <c r="B394" s="3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>
        <f>IF(E395="","",ROW()-1)</f>
        <v/>
      </c>
      <c r="B395" s="3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>
        <f>IF(E396="","",ROW()-1)</f>
        <v/>
      </c>
      <c r="B396" s="3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>
        <f>IF(E397="","",ROW()-1)</f>
        <v/>
      </c>
      <c r="B397" s="3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>
        <f>IF(E398="","",ROW()-1)</f>
        <v/>
      </c>
      <c r="B398" s="3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>
        <f>IF(E399="","",ROW()-1)</f>
        <v/>
      </c>
      <c r="B399" s="3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>
        <f>IF(E400="","",ROW()-1)</f>
        <v/>
      </c>
      <c r="B400" s="3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>
        <f>IF(E401="","",ROW()-1)</f>
        <v/>
      </c>
      <c r="B401" s="3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>
        <f>IF(E402="","",ROW()-1)</f>
        <v/>
      </c>
      <c r="B402" s="3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>
        <f>IF(E403="","",ROW()-1)</f>
        <v/>
      </c>
      <c r="B403" s="3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>
        <f>IF(E404="","",ROW()-1)</f>
        <v/>
      </c>
      <c r="B404" s="3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>
        <f>IF(E405="","",ROW()-1)</f>
        <v/>
      </c>
      <c r="B405" s="3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>
        <f>IF(E406="","",ROW()-1)</f>
        <v/>
      </c>
      <c r="B406" s="3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>
        <f>IF(E407="","",ROW()-1)</f>
        <v/>
      </c>
      <c r="B407" s="3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>
        <f>IF(E408="","",ROW()-1)</f>
        <v/>
      </c>
      <c r="B408" s="3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>
        <f>IF(E409="","",ROW()-1)</f>
        <v/>
      </c>
      <c r="B409" s="3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>
        <f>IF(E410="","",ROW()-1)</f>
        <v/>
      </c>
      <c r="B410" s="3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>
        <f>IF(E411="","",ROW()-1)</f>
        <v/>
      </c>
      <c r="B411" s="3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>
        <f>IF(E412="","",ROW()-1)</f>
        <v/>
      </c>
      <c r="B412" s="3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>
        <f>IF(E413="","",ROW()-1)</f>
        <v/>
      </c>
      <c r="B413" s="3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>
        <f>IF(E414="","",ROW()-1)</f>
        <v/>
      </c>
      <c r="B414" s="3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>
        <f>IF(E415="","",ROW()-1)</f>
        <v/>
      </c>
      <c r="B415" s="3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>
        <f>IF(E416="","",ROW()-1)</f>
        <v/>
      </c>
      <c r="B416" s="3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>
        <f>IF(E417="","",ROW()-1)</f>
        <v/>
      </c>
      <c r="B417" s="3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>
        <f>IF(E418="","",ROW()-1)</f>
        <v/>
      </c>
      <c r="B418" s="3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>
        <f>IF(E419="","",ROW()-1)</f>
        <v/>
      </c>
      <c r="B419" s="3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>
        <f>IF(E420="","",ROW()-1)</f>
        <v/>
      </c>
      <c r="B420" s="3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>
        <f>IF(E421="","",ROW()-1)</f>
        <v/>
      </c>
      <c r="B421" s="3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>
        <f>IF(E422="","",ROW()-1)</f>
        <v/>
      </c>
      <c r="B422" s="3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>
        <f>IF(E423="","",ROW()-1)</f>
        <v/>
      </c>
      <c r="B423" s="3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>
        <f>IF(E424="","",ROW()-1)</f>
        <v/>
      </c>
      <c r="B424" s="3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>
        <f>IF(E425="","",ROW()-1)</f>
        <v/>
      </c>
      <c r="B425" s="3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>
        <f>IF(E426="","",ROW()-1)</f>
        <v/>
      </c>
      <c r="B426" s="3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>
        <f>IF(E427="","",ROW()-1)</f>
        <v/>
      </c>
      <c r="B427" s="3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>
        <f>IF(E428="","",ROW()-1)</f>
        <v/>
      </c>
      <c r="B428" s="3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>
        <f>IF(E429="","",ROW()-1)</f>
        <v/>
      </c>
      <c r="B429" s="3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>
        <f>IF(E430="","",ROW()-1)</f>
        <v/>
      </c>
      <c r="B430" s="3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>
        <f>IF(E431="","",ROW()-1)</f>
        <v/>
      </c>
      <c r="B431" s="3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>
        <f>IF(E432="","",ROW()-1)</f>
        <v/>
      </c>
      <c r="B432" s="3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>
        <f>IF(E433="","",ROW()-1)</f>
        <v/>
      </c>
      <c r="B433" s="3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>
        <f>IF(E434="","",ROW()-1)</f>
        <v/>
      </c>
      <c r="B434" s="3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>
        <f>IF(E435="","",ROW()-1)</f>
        <v/>
      </c>
      <c r="B435" s="3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>
        <f>IF(E436="","",ROW()-1)</f>
        <v/>
      </c>
      <c r="B436" s="3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>
        <f>IF(E437="","",ROW()-1)</f>
        <v/>
      </c>
      <c r="B437" s="3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>
        <f>IF(E438="","",ROW()-1)</f>
        <v/>
      </c>
      <c r="B438" s="3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>
        <f>IF(E439="","",ROW()-1)</f>
        <v/>
      </c>
      <c r="B439" s="3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>
        <f>IF(E440="","",ROW()-1)</f>
        <v/>
      </c>
      <c r="B440" s="3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>
        <f>IF(E441="","",ROW()-1)</f>
        <v/>
      </c>
      <c r="B441" s="3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>
        <f>IF(E442="","",ROW()-1)</f>
        <v/>
      </c>
      <c r="B442" s="3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>
        <f>IF(E443="","",ROW()-1)</f>
        <v/>
      </c>
      <c r="B443" s="3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>
        <f>IF(E444="","",ROW()-1)</f>
        <v/>
      </c>
      <c r="B444" s="3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>
        <f>IF(E445="","",ROW()-1)</f>
        <v/>
      </c>
      <c r="B445" s="3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>
        <f>IF(E446="","",ROW()-1)</f>
        <v/>
      </c>
      <c r="B446" s="3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>
        <f>IF(E447="","",ROW()-1)</f>
        <v/>
      </c>
      <c r="B447" s="3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>
        <f>IF(E448="","",ROW()-1)</f>
        <v/>
      </c>
      <c r="B448" s="3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>
        <f>IF(E449="","",ROW()-1)</f>
        <v/>
      </c>
      <c r="B449" s="3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>
        <f>IF(E450="","",ROW()-1)</f>
        <v/>
      </c>
      <c r="B450" s="3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>
        <f>IF(E451="","",ROW()-1)</f>
        <v/>
      </c>
      <c r="B451" s="3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>
        <f>IF(E452="","",ROW()-1)</f>
        <v/>
      </c>
      <c r="B452" s="3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>
        <f>IF(E453="","",ROW()-1)</f>
        <v/>
      </c>
      <c r="B453" s="3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>
        <f>IF(E454="","",ROW()-1)</f>
        <v/>
      </c>
      <c r="B454" s="3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>
        <f>IF(E455="","",ROW()-1)</f>
        <v/>
      </c>
      <c r="B455" s="3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>
        <f>IF(E456="","",ROW()-1)</f>
        <v/>
      </c>
      <c r="B456" s="3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>
        <f>IF(E457="","",ROW()-1)</f>
        <v/>
      </c>
      <c r="B457" s="3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>
        <f>IF(E458="","",ROW()-1)</f>
        <v/>
      </c>
      <c r="B458" s="3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>
        <f>IF(E459="","",ROW()-1)</f>
        <v/>
      </c>
      <c r="B459" s="3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>
        <f>IF(E460="","",ROW()-1)</f>
        <v/>
      </c>
      <c r="B460" s="3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>
        <f>IF(E461="","",ROW()-1)</f>
        <v/>
      </c>
      <c r="B461" s="3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>
        <f>IF(E462="","",ROW()-1)</f>
        <v/>
      </c>
      <c r="B462" s="3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>
        <f>IF(E463="","",ROW()-1)</f>
        <v/>
      </c>
      <c r="B463" s="3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>
        <f>IF(E464="","",ROW()-1)</f>
        <v/>
      </c>
      <c r="B464" s="3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>
        <f>IF(E465="","",ROW()-1)</f>
        <v/>
      </c>
      <c r="B465" s="3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>
        <f>IF(E466="","",ROW()-1)</f>
        <v/>
      </c>
      <c r="B466" s="3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>
        <f>IF(E467="","",ROW()-1)</f>
        <v/>
      </c>
      <c r="B467" s="3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>
        <f>IF(E468="","",ROW()-1)</f>
        <v/>
      </c>
      <c r="B468" s="3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>
        <f>IF(E469="","",ROW()-1)</f>
        <v/>
      </c>
      <c r="B469" s="3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>
        <f>IF(E470="","",ROW()-1)</f>
        <v/>
      </c>
      <c r="B470" s="3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>
        <f>IF(E471="","",ROW()-1)</f>
        <v/>
      </c>
      <c r="B471" s="3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>
        <f>IF(E472="","",ROW()-1)</f>
        <v/>
      </c>
      <c r="B472" s="3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>
        <f>IF(E473="","",ROW()-1)</f>
        <v/>
      </c>
      <c r="B473" s="3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>
        <f>IF(E474="","",ROW()-1)</f>
        <v/>
      </c>
      <c r="B474" s="3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>
        <f>IF(E475="","",ROW()-1)</f>
        <v/>
      </c>
      <c r="B475" s="3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>
        <f>IF(E476="","",ROW()-1)</f>
        <v/>
      </c>
      <c r="B476" s="3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>
        <f>IF(E477="","",ROW()-1)</f>
        <v/>
      </c>
      <c r="B477" s="3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>
        <f>IF(E478="","",ROW()-1)</f>
        <v/>
      </c>
      <c r="B478" s="3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>
        <f>IF(E479="","",ROW()-1)</f>
        <v/>
      </c>
      <c r="B479" s="3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>
        <f>IF(E480="","",ROW()-1)</f>
        <v/>
      </c>
      <c r="B480" s="3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>
        <f>IF(E481="","",ROW()-1)</f>
        <v/>
      </c>
      <c r="B481" s="3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>
        <f>IF(E482="","",ROW()-1)</f>
        <v/>
      </c>
      <c r="B482" s="3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>
        <f>IF(E483="","",ROW()-1)</f>
        <v/>
      </c>
      <c r="B483" s="3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>
        <f>IF(E484="","",ROW()-1)</f>
        <v/>
      </c>
      <c r="B484" s="3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>
        <f>IF(E485="","",ROW()-1)</f>
        <v/>
      </c>
      <c r="B485" s="3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>
        <f>IF(E486="","",ROW()-1)</f>
        <v/>
      </c>
      <c r="B486" s="3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>
        <f>IF(E487="","",ROW()-1)</f>
        <v/>
      </c>
      <c r="B487" s="3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>
        <f>IF(E488="","",ROW()-1)</f>
        <v/>
      </c>
      <c r="B488" s="3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>
        <f>IF(E489="","",ROW()-1)</f>
        <v/>
      </c>
      <c r="B489" s="3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>
        <f>IF(E490="","",ROW()-1)</f>
        <v/>
      </c>
      <c r="B490" s="3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>
        <f>IF(E491="","",ROW()-1)</f>
        <v/>
      </c>
      <c r="B491" s="3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>
        <f>IF(E492="","",ROW()-1)</f>
        <v/>
      </c>
      <c r="B492" s="3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>
        <f>IF(E493="","",ROW()-1)</f>
        <v/>
      </c>
      <c r="B493" s="3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>
        <f>IF(E494="","",ROW()-1)</f>
        <v/>
      </c>
      <c r="B494" s="3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>
        <f>IF(E495="","",ROW()-1)</f>
        <v/>
      </c>
      <c r="B495" s="3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>
        <f>IF(E496="","",ROW()-1)</f>
        <v/>
      </c>
      <c r="B496" s="3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>
        <f>IF(E497="","",ROW()-1)</f>
        <v/>
      </c>
      <c r="B497" s="3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>
        <f>IF(E498="","",ROW()-1)</f>
        <v/>
      </c>
      <c r="B498" s="3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>
        <f>IF(E499="","",ROW()-1)</f>
        <v/>
      </c>
      <c r="B499" s="3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>
        <f>IF(E500="","",ROW()-1)</f>
        <v/>
      </c>
      <c r="B500" s="3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</sheetData>
  <dataValidations count="5">
    <dataValidation sqref="C2:C500" showDropDown="0" showInputMessage="0" showErrorMessage="0" allowBlank="1" type="list">
      <formula1>"Facebook,TikTok,Google Maps,Instagram,YouTube,Shopee,Khác"</formula1>
    </dataValidation>
    <dataValidation sqref="G2:G500" showDropDown="0" showInputMessage="0" showErrorMessage="0" allowBlank="1" type="list">
      <formula1>"Tích cực,Trung tính,Tiêu cực"</formula1>
    </dataValidation>
    <dataValidation sqref="H2:H500" showDropDown="0" showInputMessage="0" showErrorMessage="0" allowBlank="1" type="list">
      <formula1>"Giá,Chất lượng,Dịch vụ,Bảo hành,Mẫu mã,Khuyến mãi,Khác"</formula1>
    </dataValidation>
    <dataValidation sqref="I2:I500" showDropDown="0" showInputMessage="0" showErrorMessage="0" allowBlank="1" type="list">
      <formula1>"Có,Không"</formula1>
    </dataValidation>
    <dataValidation sqref="J2:J500" showDropDown="0" showInputMessage="0" showErrorMessage="0" allowBlank="1" type="list">
      <formula1>"Có,Chưa"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4" t="inlineStr">
        <is>
          <t>TỔNG HỢP SOCIAL LISTENING – KÍNH MẮT COKI</t>
        </is>
      </c>
    </row>
    <row r="2">
      <c r="A2" t="inlineStr">
        <is>
          <t>Từ ngày</t>
        </is>
      </c>
      <c r="B2" s="5" t="n">
        <v>46300</v>
      </c>
      <c r="C2" t="inlineStr">
        <is>
          <t>← nhập ngày đầu kỳ</t>
        </is>
      </c>
    </row>
    <row r="3">
      <c r="A3" t="inlineStr">
        <is>
          <t>Đến ngày</t>
        </is>
      </c>
      <c r="B3" s="5" t="n">
        <v>46310</v>
      </c>
      <c r="C3" t="inlineStr">
        <is>
          <t>← nhập ngày cuối kỳ</t>
        </is>
      </c>
    </row>
    <row r="4">
      <c r="A4" s="6" t="inlineStr">
        <is>
          <t>Chỉ số</t>
        </is>
      </c>
      <c r="B4" s="6" t="inlineStr">
        <is>
          <t>Kết quả</t>
        </is>
      </c>
    </row>
    <row r="5">
      <c r="A5" s="2" t="inlineStr">
        <is>
          <t>Tổng số lượt đề cập</t>
        </is>
      </c>
      <c r="B5" s="2">
        <f>COUNTIFS('Nhat ky theo doi'!$B$2:$B$500,"&gt;="&amp;$B$2,'Nhat ky theo doi'!$B$2:$B$500,"&lt;="&amp;$B$3)</f>
        <v/>
      </c>
    </row>
    <row r="6">
      <c r="A6" s="2" t="inlineStr">
        <is>
          <t>Tích cực</t>
        </is>
      </c>
      <c r="B6" s="2">
        <f>COUNTIFS('Nhat ky theo doi'!$B$2:$B$500,"&gt;="&amp;$B$2,'Nhat ky theo doi'!$B$2:$B$500,"&lt;="&amp;$B$3,'Nhat ky theo doi'!$G$2:$G$500,"Tích cực")</f>
        <v/>
      </c>
    </row>
    <row r="7">
      <c r="A7" s="2" t="inlineStr">
        <is>
          <t>Trung tính</t>
        </is>
      </c>
      <c r="B7" s="2">
        <f>COUNTIFS('Nhat ky theo doi'!$B$2:$B$500,"&gt;="&amp;$B$2,'Nhat ky theo doi'!$B$2:$B$500,"&lt;="&amp;$B$3,'Nhat ky theo doi'!$G$2:$G$500,"Trung tính")</f>
        <v/>
      </c>
    </row>
    <row r="8">
      <c r="A8" s="2" t="inlineStr">
        <is>
          <t>Tiêu cực</t>
        </is>
      </c>
      <c r="B8" s="2">
        <f>COUNTIFS('Nhat ky theo doi'!$B$2:$B$500,"&gt;="&amp;$B$2,'Nhat ky theo doi'!$B$2:$B$500,"&lt;="&amp;$B$3,'Nhat ky theo doi'!$G$2:$G$500,"Tiêu cực")</f>
        <v/>
      </c>
    </row>
    <row r="9">
      <c r="A9" s="2" t="inlineStr">
        <is>
          <t>Tỷ lệ tích cực</t>
        </is>
      </c>
      <c r="B9" s="7">
        <f>IF($B$5=0,"",B6/B5)</f>
        <v/>
      </c>
    </row>
    <row r="10">
      <c r="A10" s="2" t="inlineStr">
        <is>
          <t>Tỷ lệ trung tính</t>
        </is>
      </c>
      <c r="B10" s="7">
        <f>IF($B$5=0,"",B7/B5)</f>
        <v/>
      </c>
    </row>
    <row r="11">
      <c r="A11" s="2" t="inlineStr">
        <is>
          <t>Tỷ lệ tiêu cực</t>
        </is>
      </c>
      <c r="B11" s="7">
        <f>IF($B$5=0,"",B8/B5)</f>
        <v/>
      </c>
    </row>
    <row r="12">
      <c r="A12" s="2" t="inlineStr">
        <is>
          <t>Phản hồi cần xử lý</t>
        </is>
      </c>
      <c r="B12" s="2">
        <f>COUNTIFS('Nhat ky theo doi'!$B$2:$B$500,"&gt;="&amp;$B$2,'Nhat ky theo doi'!$B$2:$B$500,"&lt;="&amp;$B$3,'Nhat ky theo doi'!$I$2:$I$500,"Có")</f>
        <v/>
      </c>
    </row>
    <row r="13">
      <c r="A13" s="2" t="inlineStr">
        <is>
          <t>Phản hồi đã xử lý</t>
        </is>
      </c>
      <c r="B13" s="2">
        <f>COUNTIFS('Nhat ky theo doi'!$B$2:$B$500,"&gt;="&amp;$B$2,'Nhat ky theo doi'!$B$2:$B$500,"&lt;="&amp;$B$3,'Nhat ky theo doi'!$I$2:$I$500,"Có",'Nhat ky theo doi'!$J$2:$J$500,"Có")</f>
        <v/>
      </c>
    </row>
    <row r="15">
      <c r="A15" s="8" t="inlineStr">
        <is>
          <t>Theo kênh</t>
        </is>
      </c>
      <c r="B15" s="2" t="n"/>
    </row>
    <row r="16">
      <c r="A16" s="2" t="inlineStr">
        <is>
          <t>Facebook</t>
        </is>
      </c>
      <c r="B16" s="2">
        <f>COUNTIFS('Nhat ky theo doi'!$B$2:$B$500,"&gt;="&amp;$B$2,'Nhat ky theo doi'!$B$2:$B$500,"&lt;="&amp;$B$3,'Nhat ky theo doi'!$C$2:$C$500,"Facebook")</f>
        <v/>
      </c>
    </row>
    <row r="17">
      <c r="A17" s="2" t="inlineStr">
        <is>
          <t>TikTok</t>
        </is>
      </c>
      <c r="B17" s="2">
        <f>COUNTIFS('Nhat ky theo doi'!$B$2:$B$500,"&gt;="&amp;$B$2,'Nhat ky theo doi'!$B$2:$B$500,"&lt;="&amp;$B$3,'Nhat ky theo doi'!$C$2:$C$500,"TikTok")</f>
        <v/>
      </c>
    </row>
    <row r="18">
      <c r="A18" s="2" t="inlineStr">
        <is>
          <t>Google Maps</t>
        </is>
      </c>
      <c r="B18" s="2">
        <f>COUNTIFS('Nhat ky theo doi'!$B$2:$B$500,"&gt;="&amp;$B$2,'Nhat ky theo doi'!$B$2:$B$500,"&lt;="&amp;$B$3,'Nhat ky theo doi'!$C$2:$C$500,"Google Maps")</f>
        <v/>
      </c>
    </row>
    <row r="19">
      <c r="A19" s="2" t="inlineStr">
        <is>
          <t>Instagram</t>
        </is>
      </c>
      <c r="B19" s="2">
        <f>COUNTIFS('Nhat ky theo doi'!$B$2:$B$500,"&gt;="&amp;$B$2,'Nhat ky theo doi'!$B$2:$B$500,"&lt;="&amp;$B$3,'Nhat ky theo doi'!$C$2:$C$500,"Instagram")</f>
        <v/>
      </c>
    </row>
    <row r="20">
      <c r="A20" s="2" t="inlineStr">
        <is>
          <t>YouTube</t>
        </is>
      </c>
      <c r="B20" s="2">
        <f>COUNTIFS('Nhat ky theo doi'!$B$2:$B$500,"&gt;="&amp;$B$2,'Nhat ky theo doi'!$B$2:$B$500,"&lt;="&amp;$B$3,'Nhat ky theo doi'!$C$2:$C$500,"YouTube")</f>
        <v/>
      </c>
    </row>
    <row r="21">
      <c r="A21" s="2" t="inlineStr">
        <is>
          <t>Shopee</t>
        </is>
      </c>
      <c r="B21" s="2">
        <f>COUNTIFS('Nhat ky theo doi'!$B$2:$B$500,"&gt;="&amp;$B$2,'Nhat ky theo doi'!$B$2:$B$500,"&lt;="&amp;$B$3,'Nhat ky theo doi'!$C$2:$C$500,"Shopee")</f>
        <v/>
      </c>
    </row>
    <row r="22">
      <c r="A22" s="2" t="inlineStr">
        <is>
          <t>Khác</t>
        </is>
      </c>
      <c r="B22" s="2">
        <f>COUNTIFS('Nhat ky theo doi'!$B$2:$B$500,"&gt;="&amp;$B$2,'Nhat ky theo doi'!$B$2:$B$500,"&lt;="&amp;$B$3,'Nhat ky theo doi'!$C$2:$C$500,"Khác")</f>
        <v/>
      </c>
    </row>
    <row r="25">
      <c r="A25" s="8" t="inlineStr">
        <is>
          <t>Theo chủ đề</t>
        </is>
      </c>
      <c r="B25" s="2" t="n"/>
    </row>
    <row r="26">
      <c r="A26" s="2" t="inlineStr">
        <is>
          <t>Giá</t>
        </is>
      </c>
      <c r="B26" s="2">
        <f>COUNTIFS('Nhat ky theo doi'!$B$2:$B$500,"&gt;="&amp;$B$2,'Nhat ky theo doi'!$B$2:$B$500,"&lt;="&amp;$B$3,'Nhat ky theo doi'!$H$2:$H$500,"Giá")</f>
        <v/>
      </c>
    </row>
    <row r="27">
      <c r="A27" s="2" t="inlineStr">
        <is>
          <t>Chất lượng</t>
        </is>
      </c>
      <c r="B27" s="2">
        <f>COUNTIFS('Nhat ky theo doi'!$B$2:$B$500,"&gt;="&amp;$B$2,'Nhat ky theo doi'!$B$2:$B$500,"&lt;="&amp;$B$3,'Nhat ky theo doi'!$H$2:$H$500,"Chất lượng")</f>
        <v/>
      </c>
    </row>
    <row r="28">
      <c r="A28" s="2" t="inlineStr">
        <is>
          <t>Dịch vụ</t>
        </is>
      </c>
      <c r="B28" s="2">
        <f>COUNTIFS('Nhat ky theo doi'!$B$2:$B$500,"&gt;="&amp;$B$2,'Nhat ky theo doi'!$B$2:$B$500,"&lt;="&amp;$B$3,'Nhat ky theo doi'!$H$2:$H$500,"Dịch vụ")</f>
        <v/>
      </c>
    </row>
    <row r="29">
      <c r="A29" s="2" t="inlineStr">
        <is>
          <t>Bảo hành</t>
        </is>
      </c>
      <c r="B29" s="2">
        <f>COUNTIFS('Nhat ky theo doi'!$B$2:$B$500,"&gt;="&amp;$B$2,'Nhat ky theo doi'!$B$2:$B$500,"&lt;="&amp;$B$3,'Nhat ky theo doi'!$H$2:$H$500,"Bảo hành")</f>
        <v/>
      </c>
    </row>
    <row r="30">
      <c r="A30" s="2" t="inlineStr">
        <is>
          <t>Mẫu mã</t>
        </is>
      </c>
      <c r="B30" s="2">
        <f>COUNTIFS('Nhat ky theo doi'!$B$2:$B$500,"&gt;="&amp;$B$2,'Nhat ky theo doi'!$B$2:$B$500,"&lt;="&amp;$B$3,'Nhat ky theo doi'!$H$2:$H$500,"Mẫu mã")</f>
        <v/>
      </c>
    </row>
    <row r="31">
      <c r="A31" s="2" t="inlineStr">
        <is>
          <t>Khuyến mãi</t>
        </is>
      </c>
      <c r="B31" s="2">
        <f>COUNTIFS('Nhat ky theo doi'!$B$2:$B$500,"&gt;="&amp;$B$2,'Nhat ky theo doi'!$B$2:$B$500,"&lt;="&amp;$B$3,'Nhat ky theo doi'!$H$2:$H$500,"Khuyến mãi")</f>
        <v/>
      </c>
    </row>
    <row r="32">
      <c r="A32" s="2" t="inlineStr">
        <is>
          <t>Khác</t>
        </is>
      </c>
      <c r="B32" s="2">
        <f>COUNTIFS('Nhat ky theo doi'!$B$2:$B$500,"&gt;="&amp;$B$2,'Nhat ky theo doi'!$B$2:$B$500,"&lt;="&amp;$B$3,'Nhat ky theo doi'!$H$2:$H$500,"Khác")</f>
        <v/>
      </c>
    </row>
    <row r="34">
      <c r="A34" s="2" t="inlineStr">
        <is>
          <t>Chủ đề nhắc nhiều nhất</t>
        </is>
      </c>
      <c r="B34" s="2">
        <f>IF(B5=0,"",INDEX(A26:A32,MATCH(MAX(B26:B32),B26:B32,0)))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HƯỚNG DẪN SỬ DỤNG</t>
        </is>
      </c>
    </row>
    <row r="2">
      <c r="A2" s="10" t="inlineStr">
        <is>
          <t>1. Mỗi lượt đề cập về COKI (bài đăng, comment, review, video) ghi thành 1 dòng ở sheet "Nhat ky theo doi".</t>
        </is>
      </c>
    </row>
    <row r="3">
      <c r="A3" s="10" t="inlineStr">
        <is>
          <t>2. Tìm theo từ khóa: "Kính mắt COKI", "COKI", tên cửa hàng, sản phẩm (gọng, tròng, đo mắt, bảo hành), chiến dịch (khuyến mãi tháng 10, quà 20/10, video VJ).</t>
        </is>
      </c>
    </row>
    <row r="4">
      <c r="A4" s="10" t="inlineStr">
        <is>
          <t>3. Kênh nên rà: Facebook (fanpage, comment, group review kính), TikTok (tìm kiếm + bình luận), Google Maps (đánh giá cửa hàng), Instagram, YouTube, Shopee.</t>
        </is>
      </c>
    </row>
    <row r="5">
      <c r="A5" s="10" t="inlineStr">
        <is>
          <t>4. Chọn Cảm xúc, Chủ đề, Kênh từ danh sách thả xuống để bảng tổng hợp tính đúng.</t>
        </is>
      </c>
    </row>
    <row r="6">
      <c r="A6" s="10" t="inlineStr">
        <is>
          <t>5. Sang sheet "Tong hop", nhập ngày đầu kỳ và cuối kỳ ở B2, B3: các chỉ số tự tính.</t>
        </is>
      </c>
    </row>
    <row r="7">
      <c r="A7" s="10" t="inlineStr">
        <is>
          <t>6. Dán số liệu từ sheet Tong hop vào mục "Kết quả theo dõi" của báo cáo.</t>
        </is>
      </c>
    </row>
    <row r="8">
      <c r="A8" s="10" t="inlineStr">
        <is>
          <t>Lưu ý: chỉ ghi dữ liệu thật quan sát được, không ước lượng.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2026-10-15T08:57:24Z</dcterms:created>
  <dcterms:modified xsi:type="dcterms:W3CDTF">2026-10-15T10:13:20Z</dcterms:modified>
</cp:coreProperties>
</file>